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roupSharedFolder\"/>
    </mc:Choice>
  </mc:AlternateContent>
  <xr:revisionPtr revIDLastSave="0" documentId="13_ncr:1_{D4478ABF-E750-4314-87CA-E93A759BCB11}" xr6:coauthVersionLast="47" xr6:coauthVersionMax="47" xr10:uidLastSave="{00000000-0000-0000-0000-000000000000}"/>
  <bookViews>
    <workbookView xWindow="-108" yWindow="-108" windowWidth="23256" windowHeight="12576" xr2:uid="{7198F999-982E-42C5-A484-98ECA5155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3" i="1"/>
  <c r="K4" i="1"/>
  <c r="K5" i="1"/>
  <c r="K6" i="1"/>
  <c r="K7" i="1"/>
  <c r="K8" i="1"/>
  <c r="K9" i="1"/>
  <c r="K10" i="1"/>
  <c r="K11" i="1"/>
  <c r="K12" i="1"/>
  <c r="K13" i="1"/>
  <c r="K14" i="1"/>
  <c r="K3" i="1"/>
  <c r="R4" i="1"/>
  <c r="R5" i="1"/>
  <c r="R6" i="1"/>
  <c r="R7" i="1"/>
  <c r="R8" i="1"/>
  <c r="R9" i="1"/>
  <c r="R10" i="1"/>
  <c r="R11" i="1"/>
  <c r="R3" i="1"/>
  <c r="F4" i="1"/>
  <c r="F5" i="1"/>
  <c r="F6" i="1"/>
  <c r="F7" i="1"/>
  <c r="F8" i="1"/>
  <c r="F9" i="1"/>
  <c r="F10" i="1"/>
  <c r="F11" i="1"/>
  <c r="F12" i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3" i="1"/>
</calcChain>
</file>

<file path=xl/sharedStrings.xml><?xml version="1.0" encoding="utf-8"?>
<sst xmlns="http://schemas.openxmlformats.org/spreadsheetml/2006/main" count="26" uniqueCount="17">
  <si>
    <t>电压</t>
    <phoneticPr fontId="2" type="noConversion"/>
  </si>
  <si>
    <t>声功率</t>
    <phoneticPr fontId="2" type="noConversion"/>
  </si>
  <si>
    <t>电功率正</t>
    <phoneticPr fontId="2" type="noConversion"/>
  </si>
  <si>
    <t>电功率反</t>
    <phoneticPr fontId="2" type="noConversion"/>
  </si>
  <si>
    <t>电流</t>
    <phoneticPr fontId="2" type="noConversion"/>
  </si>
  <si>
    <t>12号换能器：970kHZ=1.94M</t>
    <phoneticPr fontId="2" type="noConversion"/>
  </si>
  <si>
    <t>1Mhz = 2Mhz</t>
    <phoneticPr fontId="2" type="noConversion"/>
  </si>
  <si>
    <t xml:space="preserve">电流 </t>
    <phoneticPr fontId="2" type="noConversion"/>
  </si>
  <si>
    <t>电功率负</t>
    <phoneticPr fontId="2" type="noConversion"/>
  </si>
  <si>
    <t>9号换能器：972kHz</t>
    <phoneticPr fontId="2" type="noConversion"/>
  </si>
  <si>
    <t>声辐射力（天平70）</t>
    <phoneticPr fontId="2" type="noConversion"/>
  </si>
  <si>
    <t>注：标灰色的部分有误，有待进一步测量黄色以下的声功率是正确的</t>
    <phoneticPr fontId="2" type="noConversion"/>
  </si>
  <si>
    <t>声功率 （声辐射力*16.4）</t>
    <phoneticPr fontId="2" type="noConversion"/>
  </si>
  <si>
    <t>声功率（声辐射力*16.4）</t>
    <phoneticPr fontId="2" type="noConversion"/>
  </si>
  <si>
    <t>声辐射力（天平55）</t>
    <phoneticPr fontId="2" type="noConversion"/>
  </si>
  <si>
    <t>电功率</t>
    <phoneticPr fontId="2" type="noConversion"/>
  </si>
  <si>
    <t>声辐射力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</si>
</sst>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EA40-68A5-4CD3-9D0F-8466EA29DF19}">
  <dimension ref="A1:X23"/>
  <sheetViews>
    <sheetView tabSelected="1" workbookViewId="0">
      <selection activeCell="G11" sqref="G11"/>
    </sheetView>
  </sheetViews>
  <sheetFormatPr defaultRowHeight="13.8" x14ac:dyDescent="0.25"/>
  <cols>
    <col min="3" max="3" width="21.44140625" customWidth="1"/>
    <col min="5" max="6" width="10.44140625" customWidth="1"/>
    <col min="7" max="7" width="16.5546875" customWidth="1"/>
    <col min="15" max="15" width="19.44140625" customWidth="1"/>
    <col min="19" max="19" width="19.21875" customWidth="1"/>
  </cols>
  <sheetData>
    <row r="1" spans="1:24" ht="47.7" customHeight="1" x14ac:dyDescent="0.25">
      <c r="A1" s="5" t="s">
        <v>5</v>
      </c>
      <c r="B1" s="5"/>
      <c r="C1" s="5"/>
      <c r="D1" s="5"/>
      <c r="E1" s="5"/>
      <c r="F1" s="5"/>
      <c r="G1" s="5"/>
      <c r="H1" s="5" t="s">
        <v>6</v>
      </c>
      <c r="I1" s="5"/>
      <c r="J1" s="5"/>
      <c r="K1" s="5"/>
      <c r="M1" s="5" t="s">
        <v>9</v>
      </c>
      <c r="N1" s="5"/>
      <c r="O1" s="5"/>
      <c r="P1" s="5"/>
      <c r="Q1" s="5"/>
      <c r="R1" s="5"/>
      <c r="S1" s="5"/>
      <c r="U1" s="5">
        <v>2</v>
      </c>
      <c r="V1" s="5"/>
      <c r="W1" s="5"/>
    </row>
    <row r="2" spans="1:24" s="6" customFormat="1" ht="27.6" x14ac:dyDescent="0.25">
      <c r="A2" s="6" t="s">
        <v>0</v>
      </c>
      <c r="B2" s="6" t="s">
        <v>4</v>
      </c>
      <c r="C2" s="6" t="s">
        <v>14</v>
      </c>
      <c r="D2" s="6" t="s">
        <v>2</v>
      </c>
      <c r="E2" s="6" t="s">
        <v>3</v>
      </c>
      <c r="F2" s="6" t="s">
        <v>15</v>
      </c>
      <c r="G2" s="6" t="s">
        <v>13</v>
      </c>
      <c r="H2" s="6" t="s">
        <v>0</v>
      </c>
      <c r="I2" s="6" t="s">
        <v>4</v>
      </c>
      <c r="J2" s="6" t="s">
        <v>16</v>
      </c>
      <c r="K2" s="6" t="s">
        <v>1</v>
      </c>
      <c r="M2" s="6" t="s">
        <v>0</v>
      </c>
      <c r="N2" s="6" t="s">
        <v>7</v>
      </c>
      <c r="O2" s="6" t="s">
        <v>10</v>
      </c>
      <c r="P2" s="6" t="s">
        <v>2</v>
      </c>
      <c r="Q2" s="6" t="s">
        <v>8</v>
      </c>
      <c r="R2" s="6" t="s">
        <v>15</v>
      </c>
      <c r="S2" s="6" t="s">
        <v>12</v>
      </c>
      <c r="U2" s="6" t="s">
        <v>0</v>
      </c>
      <c r="V2" s="6" t="s">
        <v>4</v>
      </c>
      <c r="W2" s="6" t="s">
        <v>16</v>
      </c>
      <c r="X2" s="6" t="s">
        <v>1</v>
      </c>
    </row>
    <row r="3" spans="1:24" x14ac:dyDescent="0.25">
      <c r="A3">
        <v>20</v>
      </c>
      <c r="B3">
        <v>0.441</v>
      </c>
      <c r="C3" s="3">
        <v>0.3</v>
      </c>
      <c r="D3">
        <v>7.2889999999999997</v>
      </c>
      <c r="E3">
        <v>0.308</v>
      </c>
      <c r="F3">
        <f>D3-E3</f>
        <v>6.9809999999999999</v>
      </c>
      <c r="G3">
        <f>C3*16.4</f>
        <v>4.919999999999999</v>
      </c>
      <c r="H3">
        <v>140</v>
      </c>
      <c r="I3">
        <v>2.2290000000000001</v>
      </c>
      <c r="J3">
        <v>10.199999999999999</v>
      </c>
      <c r="K3">
        <f>J3*16.4</f>
        <v>167.27999999999997</v>
      </c>
      <c r="M3">
        <v>20</v>
      </c>
      <c r="N3">
        <v>0.41</v>
      </c>
      <c r="O3">
        <v>0.3</v>
      </c>
      <c r="P3">
        <v>7.04</v>
      </c>
      <c r="Q3">
        <v>0.25700000000000001</v>
      </c>
      <c r="R3">
        <f>P3-Q3</f>
        <v>6.7830000000000004</v>
      </c>
      <c r="S3">
        <f>O3*16.4</f>
        <v>4.919999999999999</v>
      </c>
      <c r="U3">
        <v>100</v>
      </c>
      <c r="V3">
        <v>1.6</v>
      </c>
      <c r="W3">
        <v>5.7</v>
      </c>
      <c r="X3">
        <f>W3*16.4</f>
        <v>93.47999999999999</v>
      </c>
    </row>
    <row r="4" spans="1:24" x14ac:dyDescent="0.25">
      <c r="A4">
        <v>30</v>
      </c>
      <c r="B4">
        <v>0.61</v>
      </c>
      <c r="C4" s="3">
        <v>0.9</v>
      </c>
      <c r="D4">
        <v>15.92</v>
      </c>
      <c r="E4">
        <v>0.52500000000000002</v>
      </c>
      <c r="F4">
        <f t="shared" ref="F4:F12" si="0">D4-E4</f>
        <v>15.395</v>
      </c>
      <c r="G4">
        <f t="shared" ref="G4:G21" si="1">C4*16.4</f>
        <v>14.76</v>
      </c>
      <c r="H4">
        <v>155</v>
      </c>
      <c r="I4">
        <v>2.57</v>
      </c>
      <c r="J4">
        <v>12.7</v>
      </c>
      <c r="K4">
        <f>J4*16.4</f>
        <v>208.27999999999997</v>
      </c>
      <c r="M4">
        <v>30</v>
      </c>
      <c r="N4">
        <v>0.61</v>
      </c>
      <c r="O4">
        <v>0.6</v>
      </c>
      <c r="P4">
        <v>15.75</v>
      </c>
      <c r="Q4">
        <v>0.47099999999999997</v>
      </c>
      <c r="R4">
        <f t="shared" ref="R4:R11" si="2">P4-Q4</f>
        <v>15.279</v>
      </c>
      <c r="S4">
        <f t="shared" ref="S4:S18" si="3">O4*16.4</f>
        <v>9.8399999999999981</v>
      </c>
      <c r="U4">
        <v>140</v>
      </c>
      <c r="V4">
        <v>2.2599999999999998</v>
      </c>
      <c r="W4">
        <v>11.3</v>
      </c>
      <c r="X4">
        <f t="shared" ref="X4:X5" si="4">W4*16.4</f>
        <v>185.32</v>
      </c>
    </row>
    <row r="5" spans="1:24" x14ac:dyDescent="0.25">
      <c r="A5">
        <v>40</v>
      </c>
      <c r="B5">
        <v>0.81</v>
      </c>
      <c r="C5" s="3">
        <v>1.6</v>
      </c>
      <c r="D5">
        <v>28.66</v>
      </c>
      <c r="E5">
        <v>1.0880000000000001</v>
      </c>
      <c r="F5">
        <f t="shared" si="0"/>
        <v>27.571999999999999</v>
      </c>
      <c r="G5">
        <f t="shared" si="1"/>
        <v>26.24</v>
      </c>
      <c r="H5">
        <v>125</v>
      </c>
      <c r="I5">
        <v>2.0499999999999998</v>
      </c>
      <c r="J5">
        <v>8.1</v>
      </c>
      <c r="K5">
        <f>J5*16.4</f>
        <v>132.83999999999997</v>
      </c>
      <c r="M5">
        <v>40</v>
      </c>
      <c r="N5">
        <v>0.83</v>
      </c>
      <c r="O5">
        <v>1</v>
      </c>
      <c r="P5">
        <v>28.59</v>
      </c>
      <c r="Q5">
        <v>1.262</v>
      </c>
      <c r="R5">
        <f t="shared" si="2"/>
        <v>27.327999999999999</v>
      </c>
      <c r="S5">
        <f t="shared" si="3"/>
        <v>16.399999999999999</v>
      </c>
      <c r="U5">
        <v>180</v>
      </c>
      <c r="V5">
        <v>2.9</v>
      </c>
      <c r="W5">
        <v>18.899999999999999</v>
      </c>
      <c r="X5">
        <f t="shared" si="4"/>
        <v>309.95999999999992</v>
      </c>
    </row>
    <row r="6" spans="1:24" x14ac:dyDescent="0.25">
      <c r="A6">
        <v>50</v>
      </c>
      <c r="B6">
        <v>1.01</v>
      </c>
      <c r="C6" s="3">
        <v>2.5</v>
      </c>
      <c r="D6">
        <v>44.6</v>
      </c>
      <c r="E6">
        <v>1.288</v>
      </c>
      <c r="F6">
        <f t="shared" si="0"/>
        <v>43.312000000000005</v>
      </c>
      <c r="G6">
        <f t="shared" si="1"/>
        <v>41</v>
      </c>
      <c r="H6">
        <v>110</v>
      </c>
      <c r="I6">
        <v>1.8</v>
      </c>
      <c r="J6">
        <v>6.2</v>
      </c>
      <c r="K6">
        <f>J6*16.4</f>
        <v>101.67999999999999</v>
      </c>
      <c r="M6">
        <v>50</v>
      </c>
      <c r="N6">
        <v>1.05</v>
      </c>
      <c r="O6">
        <v>1.8</v>
      </c>
      <c r="P6">
        <v>45.22</v>
      </c>
      <c r="Q6">
        <v>1.431</v>
      </c>
      <c r="R6">
        <f t="shared" si="2"/>
        <v>43.789000000000001</v>
      </c>
      <c r="S6">
        <f t="shared" si="3"/>
        <v>29.52</v>
      </c>
    </row>
    <row r="7" spans="1:24" x14ac:dyDescent="0.25">
      <c r="A7">
        <v>60</v>
      </c>
      <c r="B7">
        <v>1.21</v>
      </c>
      <c r="C7" s="3">
        <v>3.6</v>
      </c>
      <c r="D7">
        <v>64.260000000000005</v>
      </c>
      <c r="E7">
        <v>1.8660000000000001</v>
      </c>
      <c r="F7">
        <f t="shared" si="0"/>
        <v>62.394000000000005</v>
      </c>
      <c r="G7">
        <f t="shared" si="1"/>
        <v>59.04</v>
      </c>
      <c r="H7">
        <v>100</v>
      </c>
      <c r="I7">
        <v>1.64</v>
      </c>
      <c r="J7">
        <v>5.0999999999999996</v>
      </c>
      <c r="K7">
        <f>J7*16.4</f>
        <v>83.639999999999986</v>
      </c>
      <c r="M7">
        <v>60</v>
      </c>
      <c r="N7">
        <v>1.28</v>
      </c>
      <c r="O7">
        <v>2.7</v>
      </c>
      <c r="P7">
        <v>66</v>
      </c>
      <c r="Q7">
        <v>2.2160000000000002</v>
      </c>
      <c r="R7">
        <f t="shared" si="2"/>
        <v>63.783999999999999</v>
      </c>
      <c r="S7">
        <f t="shared" si="3"/>
        <v>44.28</v>
      </c>
    </row>
    <row r="8" spans="1:24" x14ac:dyDescent="0.25">
      <c r="A8">
        <v>70</v>
      </c>
      <c r="B8">
        <v>1.42</v>
      </c>
      <c r="C8" s="3">
        <v>5.0999999999999996</v>
      </c>
      <c r="D8">
        <v>88.16</v>
      </c>
      <c r="E8">
        <v>2.5529999999999999</v>
      </c>
      <c r="F8">
        <f t="shared" si="0"/>
        <v>85.606999999999999</v>
      </c>
      <c r="G8">
        <f t="shared" si="1"/>
        <v>83.639999999999986</v>
      </c>
      <c r="H8">
        <v>90</v>
      </c>
      <c r="I8">
        <v>1.48</v>
      </c>
      <c r="J8">
        <v>4.0999999999999996</v>
      </c>
      <c r="K8">
        <f>J8*16.4</f>
        <v>67.239999999999995</v>
      </c>
      <c r="M8">
        <v>70</v>
      </c>
      <c r="N8">
        <v>1.5</v>
      </c>
      <c r="O8">
        <v>3.7</v>
      </c>
      <c r="P8">
        <v>90.44</v>
      </c>
      <c r="Q8">
        <v>3.1469999999999998</v>
      </c>
      <c r="R8">
        <f t="shared" si="2"/>
        <v>87.292999999999992</v>
      </c>
      <c r="S8">
        <f t="shared" si="3"/>
        <v>60.68</v>
      </c>
    </row>
    <row r="9" spans="1:24" x14ac:dyDescent="0.25">
      <c r="A9" s="2">
        <v>80</v>
      </c>
      <c r="B9">
        <v>1.64</v>
      </c>
      <c r="C9">
        <v>4.7</v>
      </c>
      <c r="D9">
        <v>115.7</v>
      </c>
      <c r="E9">
        <v>3.395</v>
      </c>
      <c r="F9">
        <f t="shared" si="0"/>
        <v>112.30500000000001</v>
      </c>
      <c r="G9">
        <f t="shared" si="1"/>
        <v>77.08</v>
      </c>
      <c r="H9">
        <v>80</v>
      </c>
      <c r="I9">
        <v>1.31</v>
      </c>
      <c r="J9">
        <v>3.3</v>
      </c>
      <c r="K9">
        <f>J9*16.4</f>
        <v>54.11999999999999</v>
      </c>
      <c r="M9">
        <v>80</v>
      </c>
      <c r="N9">
        <v>1.72</v>
      </c>
      <c r="O9">
        <v>4.9000000000000004</v>
      </c>
      <c r="P9">
        <v>118.5</v>
      </c>
      <c r="Q9">
        <v>4.2859999999999996</v>
      </c>
      <c r="R9">
        <f t="shared" si="2"/>
        <v>114.214</v>
      </c>
      <c r="S9">
        <f t="shared" si="3"/>
        <v>80.36</v>
      </c>
    </row>
    <row r="10" spans="1:24" x14ac:dyDescent="0.25">
      <c r="A10">
        <v>90</v>
      </c>
      <c r="B10">
        <v>1.85</v>
      </c>
      <c r="C10">
        <v>5.9</v>
      </c>
      <c r="D10">
        <v>145.80000000000001</v>
      </c>
      <c r="E10">
        <v>4.3710000000000004</v>
      </c>
      <c r="F10">
        <f t="shared" si="0"/>
        <v>141.429</v>
      </c>
      <c r="G10">
        <f t="shared" si="1"/>
        <v>96.759999999999991</v>
      </c>
      <c r="H10">
        <v>120</v>
      </c>
      <c r="I10">
        <v>1.97</v>
      </c>
      <c r="J10">
        <v>7.5</v>
      </c>
      <c r="K10">
        <f>J10*16.4</f>
        <v>122.99999999999999</v>
      </c>
      <c r="M10">
        <v>90</v>
      </c>
      <c r="N10">
        <v>1.94</v>
      </c>
      <c r="O10">
        <v>6.2</v>
      </c>
      <c r="P10">
        <v>149.5</v>
      </c>
      <c r="Q10">
        <v>5.718</v>
      </c>
      <c r="R10">
        <f t="shared" si="2"/>
        <v>143.78200000000001</v>
      </c>
      <c r="S10">
        <f t="shared" si="3"/>
        <v>101.67999999999999</v>
      </c>
    </row>
    <row r="11" spans="1:24" x14ac:dyDescent="0.25">
      <c r="A11">
        <v>100</v>
      </c>
      <c r="B11">
        <v>2.06</v>
      </c>
      <c r="C11">
        <v>7.3</v>
      </c>
      <c r="D11">
        <v>178.6</v>
      </c>
      <c r="E11">
        <v>5.5380000000000003</v>
      </c>
      <c r="F11">
        <f t="shared" si="0"/>
        <v>173.06199999999998</v>
      </c>
      <c r="G11">
        <f t="shared" si="1"/>
        <v>119.71999999999998</v>
      </c>
      <c r="H11">
        <v>60</v>
      </c>
      <c r="I11">
        <v>0.99</v>
      </c>
      <c r="J11">
        <v>1.8</v>
      </c>
      <c r="K11">
        <f>J11*16.4</f>
        <v>29.52</v>
      </c>
      <c r="M11">
        <v>100</v>
      </c>
      <c r="N11">
        <v>2.16</v>
      </c>
      <c r="O11">
        <v>7.6</v>
      </c>
      <c r="P11">
        <v>183.1</v>
      </c>
      <c r="Q11">
        <v>7.26</v>
      </c>
      <c r="R11">
        <f t="shared" si="2"/>
        <v>175.84</v>
      </c>
      <c r="S11">
        <f t="shared" si="3"/>
        <v>124.63999999999999</v>
      </c>
    </row>
    <row r="12" spans="1:24" x14ac:dyDescent="0.25">
      <c r="A12">
        <v>110</v>
      </c>
      <c r="B12">
        <v>2.2599999999999998</v>
      </c>
      <c r="C12">
        <v>8.8000000000000007</v>
      </c>
      <c r="D12">
        <v>213.1</v>
      </c>
      <c r="E12">
        <v>6.7750000000000004</v>
      </c>
      <c r="F12">
        <f t="shared" si="0"/>
        <v>206.32499999999999</v>
      </c>
      <c r="G12">
        <f t="shared" si="1"/>
        <v>144.32</v>
      </c>
      <c r="H12">
        <v>70</v>
      </c>
      <c r="I12">
        <v>1.1499999999999999</v>
      </c>
      <c r="J12">
        <v>2.4</v>
      </c>
      <c r="K12">
        <f>J12*16.4</f>
        <v>39.359999999999992</v>
      </c>
      <c r="M12">
        <v>110</v>
      </c>
      <c r="N12">
        <v>2.37</v>
      </c>
      <c r="O12">
        <v>9.3000000000000007</v>
      </c>
      <c r="S12">
        <f t="shared" si="3"/>
        <v>152.52000000000001</v>
      </c>
    </row>
    <row r="13" spans="1:24" x14ac:dyDescent="0.25">
      <c r="A13">
        <v>120</v>
      </c>
      <c r="B13">
        <v>2.46</v>
      </c>
      <c r="C13">
        <v>10.6</v>
      </c>
      <c r="G13">
        <f t="shared" si="1"/>
        <v>173.83999999999997</v>
      </c>
      <c r="H13">
        <v>130</v>
      </c>
      <c r="I13">
        <v>2.13</v>
      </c>
      <c r="J13">
        <v>8.9</v>
      </c>
      <c r="K13">
        <f>J13*16.4</f>
        <v>145.95999999999998</v>
      </c>
      <c r="M13">
        <v>120</v>
      </c>
      <c r="N13">
        <v>2.58</v>
      </c>
      <c r="O13">
        <v>10.9</v>
      </c>
      <c r="S13">
        <f t="shared" si="3"/>
        <v>178.76</v>
      </c>
    </row>
    <row r="14" spans="1:24" x14ac:dyDescent="0.25">
      <c r="A14">
        <v>125</v>
      </c>
      <c r="B14">
        <v>2.57</v>
      </c>
      <c r="C14">
        <v>11.3</v>
      </c>
      <c r="G14">
        <f t="shared" si="1"/>
        <v>185.32</v>
      </c>
      <c r="H14">
        <v>180</v>
      </c>
      <c r="I14">
        <v>2.96</v>
      </c>
      <c r="J14">
        <v>16.899999999999999</v>
      </c>
      <c r="K14">
        <f>J14*16.4</f>
        <v>277.15999999999997</v>
      </c>
      <c r="M14">
        <v>130</v>
      </c>
      <c r="N14">
        <v>2.8</v>
      </c>
      <c r="O14">
        <v>12.9</v>
      </c>
      <c r="S14">
        <f t="shared" si="3"/>
        <v>211.55999999999997</v>
      </c>
    </row>
    <row r="15" spans="1:24" x14ac:dyDescent="0.25">
      <c r="A15">
        <v>130</v>
      </c>
      <c r="B15">
        <v>2.68</v>
      </c>
      <c r="C15">
        <v>12.4</v>
      </c>
      <c r="G15">
        <f t="shared" si="1"/>
        <v>203.35999999999999</v>
      </c>
      <c r="M15">
        <v>140</v>
      </c>
      <c r="N15">
        <v>3.03</v>
      </c>
      <c r="O15">
        <v>15</v>
      </c>
      <c r="S15">
        <f t="shared" si="3"/>
        <v>245.99999999999997</v>
      </c>
    </row>
    <row r="16" spans="1:24" x14ac:dyDescent="0.25">
      <c r="A16">
        <v>135</v>
      </c>
      <c r="B16">
        <v>2.78</v>
      </c>
      <c r="C16">
        <v>13.4</v>
      </c>
      <c r="G16">
        <f t="shared" si="1"/>
        <v>219.76</v>
      </c>
      <c r="M16">
        <v>150</v>
      </c>
      <c r="N16">
        <v>3.24</v>
      </c>
      <c r="O16">
        <v>17.3</v>
      </c>
      <c r="S16">
        <f t="shared" si="3"/>
        <v>283.71999999999997</v>
      </c>
    </row>
    <row r="17" spans="1:19" x14ac:dyDescent="0.25">
      <c r="A17">
        <v>140</v>
      </c>
      <c r="B17">
        <v>2.89</v>
      </c>
      <c r="C17">
        <v>14.4</v>
      </c>
      <c r="G17">
        <f t="shared" si="1"/>
        <v>236.16</v>
      </c>
      <c r="M17">
        <v>160</v>
      </c>
      <c r="N17">
        <v>3.46</v>
      </c>
      <c r="O17">
        <v>19.600000000000001</v>
      </c>
      <c r="S17">
        <f t="shared" si="3"/>
        <v>321.44</v>
      </c>
    </row>
    <row r="18" spans="1:19" x14ac:dyDescent="0.25">
      <c r="A18">
        <v>145</v>
      </c>
      <c r="B18">
        <v>2.99</v>
      </c>
      <c r="C18">
        <v>15.4</v>
      </c>
      <c r="G18">
        <f t="shared" si="1"/>
        <v>252.55999999999997</v>
      </c>
      <c r="M18">
        <v>170</v>
      </c>
      <c r="N18">
        <v>3.68</v>
      </c>
      <c r="O18">
        <v>22.3</v>
      </c>
      <c r="S18">
        <f t="shared" si="3"/>
        <v>365.71999999999997</v>
      </c>
    </row>
    <row r="19" spans="1:19" x14ac:dyDescent="0.25">
      <c r="A19">
        <v>150</v>
      </c>
      <c r="B19">
        <v>3.09</v>
      </c>
      <c r="C19">
        <v>16.600000000000001</v>
      </c>
      <c r="G19">
        <f t="shared" si="1"/>
        <v>272.24</v>
      </c>
    </row>
    <row r="20" spans="1:19" x14ac:dyDescent="0.25">
      <c r="A20">
        <v>160</v>
      </c>
      <c r="B20">
        <v>3.29</v>
      </c>
      <c r="C20">
        <v>18.8</v>
      </c>
      <c r="G20">
        <f t="shared" si="1"/>
        <v>308.32</v>
      </c>
    </row>
    <row r="21" spans="1:19" x14ac:dyDescent="0.25">
      <c r="A21">
        <v>170</v>
      </c>
      <c r="B21">
        <v>3.49</v>
      </c>
      <c r="C21">
        <v>21</v>
      </c>
      <c r="G21">
        <f t="shared" si="1"/>
        <v>344.4</v>
      </c>
    </row>
    <row r="23" spans="1:19" x14ac:dyDescent="0.25">
      <c r="A23" s="4" t="s">
        <v>11</v>
      </c>
      <c r="B23" s="4"/>
      <c r="C23" s="4"/>
      <c r="D23" s="4"/>
      <c r="E23" s="4"/>
      <c r="F23" s="4"/>
      <c r="G23" s="1"/>
    </row>
  </sheetData>
  <mergeCells count="4">
    <mergeCell ref="A1:G1"/>
    <mergeCell ref="M1:S1"/>
    <mergeCell ref="U1:W1"/>
    <mergeCell ref="H1:K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独忘机</dc:creator>
  <cp:lastModifiedBy>June</cp:lastModifiedBy>
  <dcterms:created xsi:type="dcterms:W3CDTF">2022-11-29T07:20:20Z</dcterms:created>
  <dcterms:modified xsi:type="dcterms:W3CDTF">2022-12-01T03:04:23Z</dcterms:modified>
</cp:coreProperties>
</file>